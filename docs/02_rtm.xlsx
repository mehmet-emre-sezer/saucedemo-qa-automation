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'RTM'!$A$1:$H$18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B7A34"/>
      <sz val="10"/>
    </font>
    <font>
      <name val="Arial"/>
      <b val="1"/>
      <color rgb="009C6500"/>
      <sz val="10"/>
    </font>
    <font>
      <name val="Arial"/>
      <b val="1"/>
      <color rgb="001F3864"/>
      <sz val="13"/>
    </font>
    <font>
      <name val="Arial"/>
      <b val="1"/>
      <sz val="11"/>
    </font>
    <font>
      <name val="Arial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E69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40" customWidth="1" min="3" max="3"/>
    <col width="10" customWidth="1" min="4" max="4"/>
    <col width="34" customWidth="1" min="5" max="5"/>
    <col width="36" customWidth="1" min="6" max="6"/>
    <col width="16" customWidth="1" min="7" max="7"/>
    <col width="17" customWidth="1" min="8" max="8"/>
  </cols>
  <sheetData>
    <row r="1">
      <c r="A1" s="1" t="inlineStr">
        <is>
          <t>Requirement ID</t>
        </is>
      </c>
      <c r="B1" s="1" t="inlineStr">
        <is>
          <t>Module</t>
        </is>
      </c>
      <c r="C1" s="1" t="inlineStr">
        <is>
          <t>Requirement</t>
        </is>
      </c>
      <c r="D1" s="1" t="inlineStr">
        <is>
          <t>Priority</t>
        </is>
      </c>
      <c r="E1" s="1" t="inlineStr">
        <is>
          <t>Test Case ID(s)</t>
        </is>
      </c>
      <c r="F1" s="1" t="inlineStr">
        <is>
          <t>Automation Test ID(s)</t>
        </is>
      </c>
      <c r="G1" s="1" t="inlineStr">
        <is>
          <t>Coverage Status</t>
        </is>
      </c>
      <c r="H1" s="1" t="inlineStr">
        <is>
          <t>Automation Status</t>
        </is>
      </c>
    </row>
    <row r="2">
      <c r="A2" s="2" t="inlineStr">
        <is>
          <t>REQ-LOGIN-001</t>
        </is>
      </c>
      <c r="B2" s="3" t="inlineStr">
        <is>
          <t>Login</t>
        </is>
      </c>
      <c r="C2" s="4" t="inlineStr">
        <is>
          <t>Geçerli bilgiyle giriş</t>
        </is>
      </c>
      <c r="D2" s="5" t="inlineStr">
        <is>
          <t>High</t>
        </is>
      </c>
      <c r="E2" s="4" t="inlineStr">
        <is>
          <t>TC-LOGIN-001</t>
        </is>
      </c>
      <c r="F2" s="4" t="inlineStr">
        <is>
          <t>AUT-LOGIN-001</t>
        </is>
      </c>
      <c r="G2" s="6" t="inlineStr">
        <is>
          <t>Covered</t>
        </is>
      </c>
      <c r="H2" s="6" t="inlineStr">
        <is>
          <t>Automated</t>
        </is>
      </c>
    </row>
    <row r="3">
      <c r="A3" s="8" t="inlineStr">
        <is>
          <t>REQ-LOGIN-002</t>
        </is>
      </c>
      <c r="B3" s="9" t="inlineStr">
        <is>
          <t>Login</t>
        </is>
      </c>
      <c r="C3" s="10" t="inlineStr">
        <is>
          <t>Geçersiz bilgi hata verir</t>
        </is>
      </c>
      <c r="D3" s="5" t="inlineStr">
        <is>
          <t>High</t>
        </is>
      </c>
      <c r="E3" s="10" t="inlineStr">
        <is>
          <t>TC-LOGIN-002, TC-LOGIN-003</t>
        </is>
      </c>
      <c r="F3" s="10" t="inlineStr">
        <is>
          <t>AUT-LOGIN-002, AUT-LOGIN-003</t>
        </is>
      </c>
      <c r="G3" s="6" t="inlineStr">
        <is>
          <t>Covered</t>
        </is>
      </c>
      <c r="H3" s="6" t="inlineStr">
        <is>
          <t>Automated</t>
        </is>
      </c>
    </row>
    <row r="4">
      <c r="A4" s="2" t="inlineStr">
        <is>
          <t>REQ-LOGIN-003</t>
        </is>
      </c>
      <c r="B4" s="3" t="inlineStr">
        <is>
          <t>Login</t>
        </is>
      </c>
      <c r="C4" s="4" t="inlineStr">
        <is>
          <t>Kilitli kullanıcı giriş yapamaz</t>
        </is>
      </c>
      <c r="D4" s="11" t="inlineStr">
        <is>
          <t>Medium</t>
        </is>
      </c>
      <c r="E4" s="4" t="inlineStr">
        <is>
          <t>TC-LOGIN-006</t>
        </is>
      </c>
      <c r="F4" s="4" t="inlineStr">
        <is>
          <t>AUT-LOGIN-006</t>
        </is>
      </c>
      <c r="G4" s="6" t="inlineStr">
        <is>
          <t>Covered</t>
        </is>
      </c>
      <c r="H4" s="6" t="inlineStr">
        <is>
          <t>Automated</t>
        </is>
      </c>
    </row>
    <row r="5">
      <c r="A5" s="8" t="inlineStr">
        <is>
          <t>REQ-LOGIN-004</t>
        </is>
      </c>
      <c r="B5" s="9" t="inlineStr">
        <is>
          <t>Login</t>
        </is>
      </c>
      <c r="C5" s="10" t="inlineStr">
        <is>
          <t>Boş zorunlu alan hata verir</t>
        </is>
      </c>
      <c r="D5" s="11" t="inlineStr">
        <is>
          <t>Medium</t>
        </is>
      </c>
      <c r="E5" s="10" t="inlineStr">
        <is>
          <t>TC-LOGIN-004, TC-LOGIN-005</t>
        </is>
      </c>
      <c r="F5" s="10" t="inlineStr">
        <is>
          <t>AUT-LOGIN-004, AUT-LOGIN-005</t>
        </is>
      </c>
      <c r="G5" s="6" t="inlineStr">
        <is>
          <t>Covered</t>
        </is>
      </c>
      <c r="H5" s="6" t="inlineStr">
        <is>
          <t>Automated</t>
        </is>
      </c>
    </row>
    <row r="6">
      <c r="A6" s="2" t="inlineStr">
        <is>
          <t>REQ-LOGIN-005</t>
        </is>
      </c>
      <c r="B6" s="3" t="inlineStr">
        <is>
          <t>Login</t>
        </is>
      </c>
      <c r="C6" s="4" t="inlineStr">
        <is>
          <t>Giriş sonrası Products'a yönlenir</t>
        </is>
      </c>
      <c r="D6" s="5" t="inlineStr">
        <is>
          <t>High</t>
        </is>
      </c>
      <c r="E6" s="4" t="inlineStr">
        <is>
          <t>TC-LOGIN-001</t>
        </is>
      </c>
      <c r="F6" s="4" t="inlineStr">
        <is>
          <t>AUT-LOGIN-001</t>
        </is>
      </c>
      <c r="G6" s="6" t="inlineStr">
        <is>
          <t>Covered</t>
        </is>
      </c>
      <c r="H6" s="6" t="inlineStr">
        <is>
          <t>Automated</t>
        </is>
      </c>
    </row>
    <row r="7">
      <c r="A7" s="8" t="inlineStr">
        <is>
          <t>REQ-PROD-001</t>
        </is>
      </c>
      <c r="B7" s="9" t="inlineStr">
        <is>
          <t>Products</t>
        </is>
      </c>
      <c r="C7" s="10" t="inlineStr">
        <is>
          <t>Ürünler isim/fiyat/resim ile listelenir</t>
        </is>
      </c>
      <c r="D7" s="5" t="inlineStr">
        <is>
          <t>High</t>
        </is>
      </c>
      <c r="E7" s="10" t="inlineStr">
        <is>
          <t>TC-PROD-001</t>
        </is>
      </c>
      <c r="F7" s="10" t="inlineStr">
        <is>
          <t>AUT-PROD-001</t>
        </is>
      </c>
      <c r="G7" s="6" t="inlineStr">
        <is>
          <t>Covered</t>
        </is>
      </c>
      <c r="H7" s="6" t="inlineStr">
        <is>
          <t>Automated</t>
        </is>
      </c>
    </row>
    <row r="8">
      <c r="A8" s="2" t="inlineStr">
        <is>
          <t>REQ-PROD-002</t>
        </is>
      </c>
      <c r="B8" s="3" t="inlineStr">
        <is>
          <t>Products</t>
        </is>
      </c>
      <c r="C8" s="4" t="inlineStr">
        <is>
          <t>Ürünler sıralanabilir</t>
        </is>
      </c>
      <c r="D8" s="11" t="inlineStr">
        <is>
          <t>Medium</t>
        </is>
      </c>
      <c r="E8" s="4" t="inlineStr">
        <is>
          <t>TC-PROD-002, TC-PROD-003, TC-PROD-004, TC-PROD-005</t>
        </is>
      </c>
      <c r="F8" s="4" t="inlineStr">
        <is>
          <t>AUT-PROD-002, AUT-PROD-003, AUT-PROD-004, AUT-PROD-005</t>
        </is>
      </c>
      <c r="G8" s="6" t="inlineStr">
        <is>
          <t>Covered</t>
        </is>
      </c>
      <c r="H8" s="6" t="inlineStr">
        <is>
          <t>Automated</t>
        </is>
      </c>
    </row>
    <row r="9">
      <c r="A9" s="8" t="inlineStr">
        <is>
          <t>REQ-PROD-003</t>
        </is>
      </c>
      <c r="B9" s="9" t="inlineStr">
        <is>
          <t>Products</t>
        </is>
      </c>
      <c r="C9" s="10" t="inlineStr">
        <is>
          <t>Ürün sepete eklenir, badge artar</t>
        </is>
      </c>
      <c r="D9" s="5" t="inlineStr">
        <is>
          <t>High</t>
        </is>
      </c>
      <c r="E9" s="10" t="inlineStr">
        <is>
          <t>TC-PROD-006</t>
        </is>
      </c>
      <c r="F9" s="10" t="inlineStr">
        <is>
          <t>AUT-PROD-006</t>
        </is>
      </c>
      <c r="G9" s="6" t="inlineStr">
        <is>
          <t>Covered</t>
        </is>
      </c>
      <c r="H9" s="6" t="inlineStr">
        <is>
          <t>Automated</t>
        </is>
      </c>
    </row>
    <row r="10">
      <c r="A10" s="2" t="inlineStr">
        <is>
          <t>REQ-PROD-004</t>
        </is>
      </c>
      <c r="B10" s="3" t="inlineStr">
        <is>
          <t>Products</t>
        </is>
      </c>
      <c r="C10" s="4" t="inlineStr">
        <is>
          <t>Ürün Products'tan çıkarılır</t>
        </is>
      </c>
      <c r="D10" s="11" t="inlineStr">
        <is>
          <t>Medium</t>
        </is>
      </c>
      <c r="E10" s="4" t="inlineStr">
        <is>
          <t>TC-PROD-007</t>
        </is>
      </c>
      <c r="F10" s="4" t="inlineStr">
        <is>
          <t>AUT-PROD-007</t>
        </is>
      </c>
      <c r="G10" s="6" t="inlineStr">
        <is>
          <t>Covered</t>
        </is>
      </c>
      <c r="H10" s="6" t="inlineStr">
        <is>
          <t>Automated</t>
        </is>
      </c>
    </row>
    <row r="11">
      <c r="A11" s="8" t="inlineStr">
        <is>
          <t>REQ-CART-001</t>
        </is>
      </c>
      <c r="B11" s="9" t="inlineStr">
        <is>
          <t>Cart</t>
        </is>
      </c>
      <c r="C11" s="10" t="inlineStr">
        <is>
          <t>Eklenen ürün sepette görünür</t>
        </is>
      </c>
      <c r="D11" s="5" t="inlineStr">
        <is>
          <t>High</t>
        </is>
      </c>
      <c r="E11" s="10" t="inlineStr">
        <is>
          <t>TC-CART-001</t>
        </is>
      </c>
      <c r="F11" s="10" t="inlineStr">
        <is>
          <t>AUT-CART-001</t>
        </is>
      </c>
      <c r="G11" s="6" t="inlineStr">
        <is>
          <t>Covered</t>
        </is>
      </c>
      <c r="H11" s="6" t="inlineStr">
        <is>
          <t>Automated</t>
        </is>
      </c>
    </row>
    <row r="12">
      <c r="A12" s="2" t="inlineStr">
        <is>
          <t>REQ-CART-002</t>
        </is>
      </c>
      <c r="B12" s="3" t="inlineStr">
        <is>
          <t>Cart</t>
        </is>
      </c>
      <c r="C12" s="4" t="inlineStr">
        <is>
          <t>Ürün sepetten çıkarılır</t>
        </is>
      </c>
      <c r="D12" s="5" t="inlineStr">
        <is>
          <t>High</t>
        </is>
      </c>
      <c r="E12" s="4" t="inlineStr">
        <is>
          <t>TC-CART-002</t>
        </is>
      </c>
      <c r="F12" s="4" t="inlineStr">
        <is>
          <t>AUT-CART-002</t>
        </is>
      </c>
      <c r="G12" s="6" t="inlineStr">
        <is>
          <t>Covered</t>
        </is>
      </c>
      <c r="H12" s="6" t="inlineStr">
        <is>
          <t>Automated</t>
        </is>
      </c>
    </row>
    <row r="13">
      <c r="A13" s="8" t="inlineStr">
        <is>
          <t>REQ-CART-003</t>
        </is>
      </c>
      <c r="B13" s="9" t="inlineStr">
        <is>
          <t>Cart</t>
        </is>
      </c>
      <c r="C13" s="10" t="inlineStr">
        <is>
          <t>Continue Shopping ürünlere döner</t>
        </is>
      </c>
      <c r="D13" s="12" t="inlineStr">
        <is>
          <t>Low</t>
        </is>
      </c>
      <c r="E13" s="10" t="inlineStr">
        <is>
          <t>TC-CART-003</t>
        </is>
      </c>
      <c r="F13" s="10" t="inlineStr">
        <is>
          <t>AUT-CART-003</t>
        </is>
      </c>
      <c r="G13" s="6" t="inlineStr">
        <is>
          <t>Covered</t>
        </is>
      </c>
      <c r="H13" s="6" t="inlineStr">
        <is>
          <t>Automated</t>
        </is>
      </c>
    </row>
    <row r="14">
      <c r="A14" s="2" t="inlineStr">
        <is>
          <t>REQ-CART-004</t>
        </is>
      </c>
      <c r="B14" s="3" t="inlineStr">
        <is>
          <t>Cart</t>
        </is>
      </c>
      <c r="C14" s="4" t="inlineStr">
        <is>
          <t>Checkout ödeme adımına götürür</t>
        </is>
      </c>
      <c r="D14" s="5" t="inlineStr">
        <is>
          <t>High</t>
        </is>
      </c>
      <c r="E14" s="4" t="inlineStr">
        <is>
          <t>TC-CART-004</t>
        </is>
      </c>
      <c r="F14" s="4" t="inlineStr">
        <is>
          <t>AUT-CART-004</t>
        </is>
      </c>
      <c r="G14" s="6" t="inlineStr">
        <is>
          <t>Covered</t>
        </is>
      </c>
      <c r="H14" s="6" t="inlineStr">
        <is>
          <t>Automated</t>
        </is>
      </c>
    </row>
    <row r="15">
      <c r="A15" s="8" t="inlineStr">
        <is>
          <t>REQ-CHECKOUT-001</t>
        </is>
      </c>
      <c r="B15" s="9" t="inlineStr">
        <is>
          <t>Checkout</t>
        </is>
      </c>
      <c r="C15" s="10" t="inlineStr">
        <is>
          <t>Bilgi girilip overview'e geçilir</t>
        </is>
      </c>
      <c r="D15" s="5" t="inlineStr">
        <is>
          <t>High</t>
        </is>
      </c>
      <c r="E15" s="10" t="inlineStr">
        <is>
          <t>TC-CHECKOUT-001</t>
        </is>
      </c>
      <c r="F15" s="10" t="inlineStr">
        <is>
          <t>AUT-CHECKOUT-001</t>
        </is>
      </c>
      <c r="G15" s="6" t="inlineStr">
        <is>
          <t>Covered</t>
        </is>
      </c>
      <c r="H15" s="6" t="inlineStr">
        <is>
          <t>Automated</t>
        </is>
      </c>
    </row>
    <row r="16">
      <c r="A16" s="2" t="inlineStr">
        <is>
          <t>REQ-CHECKOUT-002</t>
        </is>
      </c>
      <c r="B16" s="3" t="inlineStr">
        <is>
          <t>Checkout</t>
        </is>
      </c>
      <c r="C16" s="4" t="inlineStr">
        <is>
          <t>Eksik bilgi hata verir</t>
        </is>
      </c>
      <c r="D16" s="5" t="inlineStr">
        <is>
          <t>High</t>
        </is>
      </c>
      <c r="E16" s="4" t="inlineStr">
        <is>
          <t>TC-CHECKOUT-002</t>
        </is>
      </c>
      <c r="F16" s="4" t="inlineStr">
        <is>
          <t>AUT-CHECKOUT-002</t>
        </is>
      </c>
      <c r="G16" s="6" t="inlineStr">
        <is>
          <t>Covered</t>
        </is>
      </c>
      <c r="H16" s="6" t="inlineStr">
        <is>
          <t>Automated</t>
        </is>
      </c>
    </row>
    <row r="17">
      <c r="A17" s="8" t="inlineStr">
        <is>
          <t>REQ-CHECKOUT-003</t>
        </is>
      </c>
      <c r="B17" s="9" t="inlineStr">
        <is>
          <t>Checkout</t>
        </is>
      </c>
      <c r="C17" s="10" t="inlineStr">
        <is>
          <t>Overview ürün ve toplamı gösterir</t>
        </is>
      </c>
      <c r="D17" s="11" t="inlineStr">
        <is>
          <t>Medium</t>
        </is>
      </c>
      <c r="E17" s="10" t="inlineStr">
        <is>
          <t>TC-CHECKOUT-003</t>
        </is>
      </c>
      <c r="F17" s="10" t="inlineStr">
        <is>
          <t>AUT-CHECKOUT-003</t>
        </is>
      </c>
      <c r="G17" s="6" t="inlineStr">
        <is>
          <t>Covered</t>
        </is>
      </c>
      <c r="H17" s="6" t="inlineStr">
        <is>
          <t>Automated</t>
        </is>
      </c>
    </row>
    <row r="18">
      <c r="A18" s="2" t="inlineStr">
        <is>
          <t>REQ-CHECKOUT-004</t>
        </is>
      </c>
      <c r="B18" s="3" t="inlineStr">
        <is>
          <t>Checkout</t>
        </is>
      </c>
      <c r="C18" s="4" t="inlineStr">
        <is>
          <t>Sipariş tamamlanır, onay gösterilir</t>
        </is>
      </c>
      <c r="D18" s="5" t="inlineStr">
        <is>
          <t>High</t>
        </is>
      </c>
      <c r="E18" s="4" t="inlineStr">
        <is>
          <t>TC-CHECKOUT-004</t>
        </is>
      </c>
      <c r="F18" s="4" t="inlineStr">
        <is>
          <t>AUT-CHECKOUT-004</t>
        </is>
      </c>
      <c r="G18" s="6" t="inlineStr">
        <is>
          <t>Covered</t>
        </is>
      </c>
      <c r="H18" s="6" t="inlineStr">
        <is>
          <t>Automated</t>
        </is>
      </c>
    </row>
  </sheetData>
  <autoFilter ref="A1:H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3" t="inlineStr">
        <is>
          <t>RTM Coverage Summary</t>
        </is>
      </c>
    </row>
    <row r="3">
      <c r="A3" s="14" t="inlineStr">
        <is>
          <t>Toplam Requirement</t>
        </is>
      </c>
      <c r="B3" s="15">
        <f>COUNTA(RTM!A2:A18)</f>
        <v/>
      </c>
    </row>
    <row r="4">
      <c r="A4" s="14" t="inlineStr">
        <is>
          <t>Kapsanan (Covered)</t>
        </is>
      </c>
      <c r="B4" s="15">
        <f>COUNTIF(RTM!G2:G18,"Covered")</f>
        <v/>
      </c>
    </row>
    <row r="5">
      <c r="A5" s="14" t="inlineStr">
        <is>
          <t>Kapsanmayan (Not Covered)</t>
        </is>
      </c>
      <c r="B5" s="15">
        <f>COUNTIF(RTM!G2:G18,"Not Covered")</f>
        <v/>
      </c>
    </row>
    <row r="6">
      <c r="A6" s="14" t="inlineStr">
        <is>
          <t>Coverage %</t>
        </is>
      </c>
      <c r="B6" s="16">
        <f>COUNTIF(RTM!G2:G18,"Covered")/COUNTA(RTM!A2:A18)</f>
        <v/>
      </c>
    </row>
    <row r="7">
      <c r="A7" s="14" t="inlineStr">
        <is>
          <t>Otomasyonu Yazılmış (Automated)</t>
        </is>
      </c>
      <c r="B7" s="15">
        <f>COUNTIF(RTM!H2:H18,"Automated")</f>
        <v/>
      </c>
    </row>
    <row r="8">
      <c r="A8" s="14" t="inlineStr">
        <is>
          <t>Otomasyonu Planlı (Planned)</t>
        </is>
      </c>
      <c r="B8" s="15">
        <f>COUNTIF(RTM!H2:H18,"Planned")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2026-09-15T13:55:11Z</dcterms:created>
  <dcterms:modified xmlns:dcterms="http://purl.org/dc/terms/" xmlns:xsi="http://www.w3.org/2001/XMLSchema-instance" xsi:type="dcterms:W3CDTF">2026-09-17T16:29:29Z</dcterms:modified>
</cp:coreProperties>
</file>